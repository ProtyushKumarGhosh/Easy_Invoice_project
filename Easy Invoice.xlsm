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defaultThemeVersion="124226"/>
  <bookViews>
    <workbookView xWindow="0" yWindow="36" windowWidth="22980" windowHeight="9552"/>
  </bookViews>
  <sheets>
    <sheet name="Sheet1" sheetId="1" r:id="rId1"/>
    <sheet name="Sheet3" sheetId="3" r:id="rId2"/>
  </sheets>
  <calcPr calcId="144525"/>
</workbook>
</file>

<file path=xl/calcChain.xml><?xml version="1.0" encoding="utf-8"?>
<calcChain xmlns="http://schemas.openxmlformats.org/spreadsheetml/2006/main">
  <c r="C14" i="1" l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13" i="1"/>
  <c r="E14" i="1" l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13" i="1"/>
  <c r="E35" i="1" s="1"/>
  <c r="E37" i="1" l="1"/>
  <c r="E36" i="1"/>
  <c r="E38" i="1" l="1"/>
</calcChain>
</file>

<file path=xl/sharedStrings.xml><?xml version="1.0" encoding="utf-8"?>
<sst xmlns="http://schemas.openxmlformats.org/spreadsheetml/2006/main" count="50" uniqueCount="49">
  <si>
    <t>Sl NO.</t>
  </si>
  <si>
    <t>Particulars</t>
  </si>
  <si>
    <t>Rate</t>
  </si>
  <si>
    <t>Quantity</t>
  </si>
  <si>
    <t>Amount</t>
  </si>
  <si>
    <t>Protyush Garments Private Limited</t>
  </si>
  <si>
    <t xml:space="preserve">Chinsurah Dharampur 56 Main Market near </t>
  </si>
  <si>
    <t>Hooghly ,WB 569832</t>
  </si>
  <si>
    <t>Name:</t>
  </si>
  <si>
    <t>Contact.:</t>
  </si>
  <si>
    <t>Address.:</t>
  </si>
  <si>
    <t>INVOICE</t>
  </si>
  <si>
    <t>Total Amount</t>
  </si>
  <si>
    <t>Grand Total</t>
  </si>
  <si>
    <t>SGST 9%</t>
  </si>
  <si>
    <t>CGSt 9%</t>
  </si>
  <si>
    <t>Authorised Signature</t>
  </si>
  <si>
    <t xml:space="preserve">Bill No.: </t>
  </si>
  <si>
    <t>Date :</t>
  </si>
  <si>
    <t>Name of products</t>
  </si>
  <si>
    <t>Price/packet</t>
  </si>
  <si>
    <t>Almonds (100gm)</t>
  </si>
  <si>
    <t>Amulaya (50gm)</t>
  </si>
  <si>
    <t xml:space="preserve">Biscuits </t>
  </si>
  <si>
    <t>Bournville</t>
  </si>
  <si>
    <t>Butter (100gm)</t>
  </si>
  <si>
    <t>Candies (100/packet)</t>
  </si>
  <si>
    <t>Cashew (100gm)</t>
  </si>
  <si>
    <t>Chanachur (100gm)</t>
  </si>
  <si>
    <t>Cheese (50gm)</t>
  </si>
  <si>
    <t>Chocolate</t>
  </si>
  <si>
    <t>Coffee (250gm)</t>
  </si>
  <si>
    <t>Cold Cream (50gm)</t>
  </si>
  <si>
    <t>Dates (100gm)</t>
  </si>
  <si>
    <t>Dried Fruits (100gm)</t>
  </si>
  <si>
    <t>Honey (100gm)</t>
  </si>
  <si>
    <t>Milk (500mlt)</t>
  </si>
  <si>
    <t>Namkeen (450gm)</t>
  </si>
  <si>
    <t>Oats (300gm)</t>
  </si>
  <si>
    <t>Protein powder (250gm)</t>
  </si>
  <si>
    <t>Raisin (100gm)</t>
  </si>
  <si>
    <t>Roasted nuts (100gm)</t>
  </si>
  <si>
    <t>Rose Water (1lt)</t>
  </si>
  <si>
    <t>Salt (500gm)</t>
  </si>
  <si>
    <t>Sugar (500gm)</t>
  </si>
  <si>
    <t>Tea (500gm)</t>
  </si>
  <si>
    <t>Vinegar (1lt)</t>
  </si>
  <si>
    <t>Walnuts (150gm)</t>
  </si>
  <si>
    <t>Yogrut (100gm)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</si>
</sst>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theme="0"/>
      <name val="Cambria"/>
      <family val="1"/>
      <scheme val="major"/>
    </font>
    <font>
      <b/>
      <sz val="16"/>
      <color theme="1"/>
      <name val="Cambria"/>
      <family val="1"/>
      <scheme val="major"/>
    </font>
    <font>
      <b/>
      <sz val="16"/>
      <color theme="1"/>
      <name val="Calibri"/>
      <family val="2"/>
      <scheme val="minor"/>
    </font>
    <font>
      <i/>
      <sz val="9"/>
      <color theme="0"/>
      <name val="Cambria"/>
      <family val="1"/>
      <scheme val="major"/>
    </font>
    <font>
      <b/>
      <sz val="18"/>
      <color theme="1"/>
      <name val="Cambria"/>
      <family val="1"/>
      <scheme val="major"/>
    </font>
    <font>
      <i/>
      <sz val="9"/>
      <color theme="1"/>
      <name val="Cambria"/>
      <family val="1"/>
      <scheme val="maj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114D07"/>
        <bgColor indexed="64"/>
      </patternFill>
    </fill>
    <fill>
      <patternFill patternType="solid">
        <fgColor theme="2" tint="-9.9978637043366805E-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2" fillId="0" borderId="0" xfId="0" applyFont="1"/>
    <xf numFmtId="0" fontId="1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0" xfId="0"/>
    <xf numFmtId="0" fontId="0" fillId="0" borderId="0" xfId="0" applyAlignment="1"/>
    <xf numFmtId="0" fontId="0" fillId="0" borderId="0" xfId="0" applyFill="1" applyBorder="1" applyAlignment="1"/>
    <xf numFmtId="0" fontId="2" fillId="0" borderId="4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0" fillId="0" borderId="0" xfId="0" applyFill="1"/>
    <xf numFmtId="0" fontId="0" fillId="0" borderId="0" xfId="0" applyFill="1" applyBorder="1" applyAlignment="1">
      <alignment vertical="center"/>
    </xf>
    <xf numFmtId="0" fontId="0" fillId="0" borderId="0" xfId="0" applyFill="1" applyBorder="1"/>
    <xf numFmtId="0" fontId="1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vertical="center"/>
    </xf>
    <xf numFmtId="0" fontId="2" fillId="0" borderId="9" xfId="0" applyFont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0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" fillId="0" borderId="8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1" fillId="4" borderId="8" xfId="0" applyFont="1" applyFill="1" applyBorder="1" applyAlignment="1">
      <alignment vertical="center"/>
    </xf>
    <xf numFmtId="0" fontId="1" fillId="4" borderId="0" xfId="0" applyFont="1" applyFill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7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0" fillId="0" borderId="1" xfId="0" applyBorder="1"/>
    <xf numFmtId="0" fontId="0" fillId="0" borderId="1" xfId="0" applyBorder="1" applyAlignment="1">
      <alignment vertical="center"/>
    </xf>
    <xf numFmtId="0" fontId="2" fillId="0" borderId="3" xfId="0" applyFont="1" applyBorder="1" applyAlignment="1">
      <alignment vertical="center"/>
    </xf>
    <xf numFmtId="0" fontId="0" fillId="0" borderId="3" xfId="0" applyBorder="1"/>
    <xf numFmtId="0" fontId="0" fillId="0" borderId="4" xfId="0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0" borderId="1" xfId="0" applyFont="1" applyFill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2" xfId="0" applyFont="1" applyBorder="1" applyAlignment="1">
      <alignment vertical="center"/>
    </xf>
    <xf numFmtId="0" fontId="2" fillId="4" borderId="11" xfId="0" applyFont="1" applyFill="1" applyBorder="1" applyAlignment="1">
      <alignment horizontal="left" vertical="center"/>
    </xf>
    <xf numFmtId="0" fontId="2" fillId="4" borderId="11" xfId="0" applyFont="1" applyFill="1" applyBorder="1" applyAlignment="1">
      <alignment horizontal="left" vertical="center"/>
    </xf>
    <xf numFmtId="0" fontId="2" fillId="4" borderId="6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14D07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93"/>
  <sheetViews>
    <sheetView tabSelected="1" view="pageLayout" zoomScale="60" zoomScaleNormal="81" zoomScalePageLayoutView="60" workbookViewId="0">
      <selection activeCell="H13" sqref="H13"/>
    </sheetView>
  </sheetViews>
  <sheetFormatPr defaultRowHeight="14.4" x14ac:dyDescent="0.3"/>
  <cols>
    <col min="1" max="1" width="14.77734375" customWidth="1"/>
    <col min="2" max="2" width="39.21875" customWidth="1"/>
    <col min="3" max="3" width="18.77734375" customWidth="1"/>
    <col min="4" max="4" width="11.6640625" customWidth="1"/>
    <col min="5" max="5" width="17.21875" customWidth="1"/>
    <col min="6" max="6" width="11.6640625" customWidth="1"/>
    <col min="7" max="7" width="28.77734375" customWidth="1"/>
    <col min="8" max="8" width="14.109375" customWidth="1"/>
    <col min="9" max="9" width="6.21875" bestFit="1" customWidth="1"/>
    <col min="10" max="10" width="9.44140625" customWidth="1"/>
    <col min="11" max="11" width="19.5546875" customWidth="1"/>
    <col min="12" max="12" width="15.44140625" customWidth="1"/>
    <col min="13" max="13" width="10" bestFit="1" customWidth="1"/>
  </cols>
  <sheetData>
    <row r="1" spans="1:16" ht="22.8" x14ac:dyDescent="0.3">
      <c r="A1" s="25" t="s">
        <v>5</v>
      </c>
      <c r="B1" s="26"/>
      <c r="C1" s="26"/>
      <c r="D1" s="26"/>
      <c r="E1" s="27"/>
      <c r="F1" s="15"/>
      <c r="G1" s="15"/>
      <c r="H1" s="15"/>
      <c r="I1" s="15"/>
      <c r="J1" s="15"/>
      <c r="K1" s="15"/>
      <c r="L1" s="21"/>
      <c r="M1" s="21"/>
      <c r="N1" s="13"/>
      <c r="O1" s="13"/>
      <c r="P1" s="13"/>
    </row>
    <row r="2" spans="1:16" x14ac:dyDescent="0.3">
      <c r="A2" s="28" t="s">
        <v>6</v>
      </c>
      <c r="B2" s="29"/>
      <c r="C2" s="29"/>
      <c r="D2" s="29"/>
      <c r="E2" s="30"/>
      <c r="F2" s="15"/>
      <c r="G2" s="15"/>
      <c r="H2" s="15"/>
      <c r="I2" s="15"/>
      <c r="J2" s="15"/>
      <c r="K2" s="15"/>
      <c r="L2" s="22"/>
      <c r="M2" s="22"/>
      <c r="N2" s="13"/>
      <c r="O2" s="13"/>
      <c r="P2" s="13"/>
    </row>
    <row r="3" spans="1:16" x14ac:dyDescent="0.3">
      <c r="A3" s="28" t="s">
        <v>7</v>
      </c>
      <c r="B3" s="29"/>
      <c r="C3" s="29"/>
      <c r="D3" s="29"/>
      <c r="E3" s="30"/>
      <c r="F3" s="15"/>
      <c r="G3" s="15"/>
      <c r="H3" s="15"/>
      <c r="I3" s="15"/>
      <c r="J3" s="15"/>
      <c r="K3" s="15"/>
      <c r="L3" s="22"/>
      <c r="M3" s="22"/>
      <c r="N3" s="13"/>
      <c r="O3" s="13"/>
      <c r="P3" s="13"/>
    </row>
    <row r="4" spans="1:16" ht="21" x14ac:dyDescent="0.3">
      <c r="A4" s="31" t="s">
        <v>11</v>
      </c>
      <c r="B4" s="32"/>
      <c r="C4" s="32"/>
      <c r="D4" s="32"/>
      <c r="E4" s="33"/>
      <c r="F4" s="15"/>
      <c r="G4" s="15"/>
      <c r="H4" s="15"/>
      <c r="I4" s="15"/>
      <c r="J4" s="15"/>
      <c r="K4" s="15"/>
      <c r="L4" s="23"/>
      <c r="M4" s="23"/>
      <c r="N4" s="13"/>
      <c r="O4" s="13"/>
      <c r="P4" s="13"/>
    </row>
    <row r="5" spans="1:16" ht="18" x14ac:dyDescent="0.3">
      <c r="A5" s="34"/>
      <c r="B5" s="4"/>
      <c r="C5" s="4"/>
      <c r="D5" s="4"/>
      <c r="E5" s="35"/>
      <c r="F5" s="15"/>
      <c r="G5" s="15"/>
      <c r="H5" s="15"/>
      <c r="I5" s="15"/>
      <c r="J5" s="15"/>
      <c r="K5" s="15"/>
      <c r="L5" s="15"/>
      <c r="M5" s="15"/>
      <c r="N5" s="13"/>
      <c r="O5" s="13"/>
      <c r="P5" s="13"/>
    </row>
    <row r="6" spans="1:16" ht="18" x14ac:dyDescent="0.3">
      <c r="A6" s="36" t="s">
        <v>17</v>
      </c>
      <c r="B6" s="53"/>
      <c r="C6" s="37" t="s">
        <v>18</v>
      </c>
      <c r="D6" s="54"/>
      <c r="E6" s="55"/>
      <c r="F6" s="15"/>
      <c r="G6" s="15"/>
      <c r="H6" s="15"/>
      <c r="I6" s="15"/>
      <c r="J6" s="15"/>
      <c r="K6" s="15"/>
      <c r="L6" s="15"/>
      <c r="M6" s="15"/>
      <c r="N6" s="13"/>
      <c r="O6" s="13"/>
      <c r="P6" s="13"/>
    </row>
    <row r="7" spans="1:16" ht="18" x14ac:dyDescent="0.3">
      <c r="A7" s="34"/>
      <c r="B7" s="4"/>
      <c r="C7" s="4"/>
      <c r="D7" s="4"/>
      <c r="E7" s="35"/>
      <c r="F7" s="15"/>
      <c r="G7" s="15"/>
      <c r="H7" s="15"/>
      <c r="I7" s="15"/>
      <c r="J7" s="15"/>
      <c r="K7" s="15"/>
      <c r="L7" s="15"/>
      <c r="M7" s="15"/>
      <c r="N7" s="13"/>
      <c r="O7" s="13"/>
      <c r="P7" s="13"/>
    </row>
    <row r="8" spans="1:16" ht="18" x14ac:dyDescent="0.3">
      <c r="A8" s="34" t="s">
        <v>8</v>
      </c>
      <c r="B8" s="51"/>
      <c r="C8" s="51"/>
      <c r="D8" s="51"/>
      <c r="E8" s="35"/>
      <c r="F8" s="15"/>
      <c r="G8" s="15"/>
      <c r="H8" s="15"/>
      <c r="I8" s="15"/>
      <c r="J8" s="15"/>
      <c r="K8" s="15"/>
      <c r="L8" s="15"/>
      <c r="M8" s="15"/>
      <c r="N8" s="13"/>
      <c r="O8" s="13"/>
      <c r="P8" s="13"/>
    </row>
    <row r="9" spans="1:16" ht="18" x14ac:dyDescent="0.3">
      <c r="A9" s="34" t="s">
        <v>9</v>
      </c>
      <c r="B9" s="52"/>
      <c r="C9" s="52"/>
      <c r="D9" s="52"/>
      <c r="E9" s="35"/>
      <c r="F9" s="15"/>
      <c r="G9" s="15"/>
      <c r="H9" s="15"/>
      <c r="I9" s="15"/>
      <c r="J9" s="15"/>
      <c r="K9" s="15"/>
      <c r="L9" s="15"/>
      <c r="M9" s="15"/>
      <c r="N9" s="13"/>
      <c r="O9" s="13"/>
      <c r="P9" s="13"/>
    </row>
    <row r="10" spans="1:16" ht="18" x14ac:dyDescent="0.3">
      <c r="A10" s="34" t="s">
        <v>10</v>
      </c>
      <c r="B10" s="51"/>
      <c r="C10" s="51"/>
      <c r="D10" s="51"/>
      <c r="E10" s="35"/>
      <c r="F10" s="15"/>
      <c r="G10" s="15"/>
      <c r="H10" s="15"/>
      <c r="I10" s="15"/>
      <c r="J10" s="15"/>
      <c r="K10" s="15"/>
      <c r="L10" s="15"/>
      <c r="M10" s="15"/>
      <c r="N10" s="13"/>
      <c r="O10" s="13"/>
      <c r="P10" s="13"/>
    </row>
    <row r="11" spans="1:16" ht="18" x14ac:dyDescent="0.3">
      <c r="A11" s="34"/>
      <c r="B11" s="4"/>
      <c r="C11" s="4"/>
      <c r="D11" s="4"/>
      <c r="E11" s="35"/>
      <c r="F11" s="15"/>
      <c r="G11" s="15"/>
      <c r="H11" s="15"/>
      <c r="I11" s="15"/>
      <c r="J11" s="15"/>
      <c r="K11" s="15"/>
      <c r="L11" s="15"/>
      <c r="M11" s="15"/>
      <c r="N11" s="13"/>
      <c r="O11" s="13"/>
      <c r="P11" s="13"/>
    </row>
    <row r="12" spans="1:16" ht="18" x14ac:dyDescent="0.3">
      <c r="A12" s="2" t="s">
        <v>0</v>
      </c>
      <c r="B12" s="2" t="s">
        <v>1</v>
      </c>
      <c r="C12" s="2" t="s">
        <v>2</v>
      </c>
      <c r="D12" s="2" t="s">
        <v>3</v>
      </c>
      <c r="E12" s="2" t="s">
        <v>4</v>
      </c>
      <c r="F12" s="15"/>
      <c r="G12" s="15"/>
      <c r="H12" s="15"/>
      <c r="I12" s="15"/>
      <c r="J12" s="15"/>
      <c r="K12" s="15"/>
      <c r="L12" s="16"/>
      <c r="M12" s="16"/>
      <c r="N12" s="13"/>
      <c r="O12" s="13"/>
      <c r="P12" s="13"/>
    </row>
    <row r="13" spans="1:16" ht="18" x14ac:dyDescent="0.3">
      <c r="A13" s="5"/>
      <c r="B13" s="5" t="s">
        <v>25</v>
      </c>
      <c r="C13" s="5">
        <f>IFERROR(VLOOKUP(B13,Sheet3!$A$1:$B$29,2,0),"")</f>
        <v>40</v>
      </c>
      <c r="D13" s="5">
        <v>2</v>
      </c>
      <c r="E13" s="5">
        <f>IFERROR((D13*C13),"")</f>
        <v>80</v>
      </c>
      <c r="F13" s="15"/>
      <c r="G13" s="15"/>
      <c r="H13" s="15"/>
      <c r="I13" s="15"/>
      <c r="J13" s="15"/>
      <c r="K13" s="15"/>
      <c r="L13" s="17"/>
      <c r="M13" s="17"/>
      <c r="N13" s="13"/>
      <c r="O13" s="13"/>
      <c r="P13" s="13"/>
    </row>
    <row r="14" spans="1:16" ht="18" x14ac:dyDescent="0.3">
      <c r="A14" s="5"/>
      <c r="B14" s="5"/>
      <c r="C14" s="5" t="str">
        <f>IFERROR(VLOOKUP(B14,Sheet3!$A$1:$B$29,2,0),"")</f>
        <v/>
      </c>
      <c r="D14" s="5"/>
      <c r="E14" s="5" t="str">
        <f t="shared" ref="E14:E29" si="0">IFERROR((D14*C14),"")</f>
        <v/>
      </c>
      <c r="F14" s="15"/>
      <c r="G14" s="17"/>
      <c r="H14" s="17"/>
      <c r="I14" s="17"/>
      <c r="J14" s="17"/>
      <c r="K14" s="17"/>
      <c r="L14" s="17"/>
      <c r="M14" s="17"/>
    </row>
    <row r="15" spans="1:16" ht="18" x14ac:dyDescent="0.3">
      <c r="A15" s="5"/>
      <c r="B15" s="5"/>
      <c r="C15" s="5" t="str">
        <f>IFERROR(VLOOKUP(B15,Sheet3!$A$1:$B$29,2,0),"")</f>
        <v/>
      </c>
      <c r="D15" s="5"/>
      <c r="E15" s="5" t="str">
        <f t="shared" si="0"/>
        <v/>
      </c>
      <c r="F15" s="17"/>
      <c r="G15" s="17"/>
      <c r="H15" s="17"/>
      <c r="I15" s="17"/>
      <c r="J15" s="17"/>
      <c r="K15" s="17"/>
      <c r="L15" s="17"/>
      <c r="M15" s="17"/>
    </row>
    <row r="16" spans="1:16" ht="18" x14ac:dyDescent="0.3">
      <c r="A16" s="5"/>
      <c r="B16" s="5"/>
      <c r="C16" s="5" t="str">
        <f>IFERROR(VLOOKUP(B16,Sheet3!$A$1:$B$29,2,0),"")</f>
        <v/>
      </c>
      <c r="D16" s="5"/>
      <c r="E16" s="5" t="str">
        <f t="shared" si="0"/>
        <v/>
      </c>
      <c r="F16" s="17"/>
      <c r="G16" s="17"/>
      <c r="H16" s="17"/>
      <c r="I16" s="17"/>
      <c r="J16" s="17"/>
      <c r="K16" s="17"/>
      <c r="L16" s="17"/>
      <c r="M16" s="17"/>
    </row>
    <row r="17" spans="1:13" ht="18" x14ac:dyDescent="0.3">
      <c r="A17" s="5"/>
      <c r="B17" s="5"/>
      <c r="C17" s="5" t="str">
        <f>IFERROR(VLOOKUP(B17,Sheet3!$A$1:$B$29,2,0),"")</f>
        <v/>
      </c>
      <c r="D17" s="5"/>
      <c r="E17" s="5" t="str">
        <f t="shared" si="0"/>
        <v/>
      </c>
      <c r="F17" s="17"/>
      <c r="G17" s="17"/>
      <c r="H17" s="17"/>
      <c r="I17" s="17"/>
      <c r="J17" s="17"/>
      <c r="K17" s="17"/>
      <c r="L17" s="17"/>
      <c r="M17" s="17"/>
    </row>
    <row r="18" spans="1:13" ht="18" x14ac:dyDescent="0.3">
      <c r="A18" s="5"/>
      <c r="B18" s="5"/>
      <c r="C18" s="5" t="str">
        <f>IFERROR(VLOOKUP(B18,Sheet3!$A$1:$B$29,2,0),"")</f>
        <v/>
      </c>
      <c r="D18" s="5"/>
      <c r="E18" s="5" t="str">
        <f t="shared" si="0"/>
        <v/>
      </c>
      <c r="F18" s="17"/>
      <c r="G18" s="17"/>
      <c r="H18" s="17"/>
      <c r="I18" s="17"/>
      <c r="J18" s="17"/>
      <c r="K18" s="17"/>
      <c r="L18" s="17"/>
      <c r="M18" s="17"/>
    </row>
    <row r="19" spans="1:13" ht="18" x14ac:dyDescent="0.3">
      <c r="A19" s="5"/>
      <c r="B19" s="5"/>
      <c r="C19" s="5" t="str">
        <f>IFERROR(VLOOKUP(B19,Sheet3!$A$1:$B$29,2,0),"")</f>
        <v/>
      </c>
      <c r="D19" s="5"/>
      <c r="E19" s="5" t="str">
        <f t="shared" si="0"/>
        <v/>
      </c>
      <c r="F19" s="17"/>
      <c r="G19" s="17"/>
      <c r="H19" s="17"/>
      <c r="I19" s="17"/>
      <c r="J19" s="17"/>
      <c r="K19" s="17"/>
      <c r="L19" s="17"/>
      <c r="M19" s="17"/>
    </row>
    <row r="20" spans="1:13" ht="18" x14ac:dyDescent="0.3">
      <c r="A20" s="5"/>
      <c r="B20" s="5"/>
      <c r="C20" s="5" t="str">
        <f>IFERROR(VLOOKUP(B20,Sheet3!$A$1:$B$29,2,0),"")</f>
        <v/>
      </c>
      <c r="D20" s="5"/>
      <c r="E20" s="5" t="str">
        <f t="shared" si="0"/>
        <v/>
      </c>
      <c r="F20" s="17"/>
      <c r="G20" s="17"/>
      <c r="H20" s="17"/>
      <c r="I20" s="17"/>
      <c r="J20" s="17"/>
      <c r="K20" s="17"/>
      <c r="L20" s="17"/>
      <c r="M20" s="17"/>
    </row>
    <row r="21" spans="1:13" ht="18" x14ac:dyDescent="0.3">
      <c r="A21" s="5"/>
      <c r="B21" s="5"/>
      <c r="C21" s="5" t="str">
        <f>IFERROR(VLOOKUP(B21,Sheet3!$A$1:$B$29,2,0),"")</f>
        <v/>
      </c>
      <c r="D21" s="5"/>
      <c r="E21" s="5" t="str">
        <f t="shared" si="0"/>
        <v/>
      </c>
      <c r="F21" s="17"/>
      <c r="G21" s="17"/>
      <c r="H21" s="17"/>
      <c r="I21" s="17"/>
      <c r="J21" s="17"/>
      <c r="K21" s="17"/>
      <c r="L21" s="17"/>
      <c r="M21" s="17"/>
    </row>
    <row r="22" spans="1:13" ht="18" x14ac:dyDescent="0.3">
      <c r="A22" s="5"/>
      <c r="B22" s="5"/>
      <c r="C22" s="5" t="str">
        <f>IFERROR(VLOOKUP(B22,Sheet3!$A$1:$B$29,2,0),"")</f>
        <v/>
      </c>
      <c r="D22" s="5"/>
      <c r="E22" s="5" t="str">
        <f t="shared" si="0"/>
        <v/>
      </c>
      <c r="F22" s="17"/>
      <c r="G22" s="17"/>
      <c r="H22" s="17"/>
      <c r="I22" s="17"/>
      <c r="J22" s="17"/>
      <c r="K22" s="17"/>
      <c r="L22" s="17"/>
      <c r="M22" s="17"/>
    </row>
    <row r="23" spans="1:13" ht="18" x14ac:dyDescent="0.3">
      <c r="A23" s="5"/>
      <c r="B23" s="5"/>
      <c r="C23" s="5" t="str">
        <f>IFERROR(VLOOKUP(B23,Sheet3!$A$1:$B$29,2,0),"")</f>
        <v/>
      </c>
      <c r="D23" s="5"/>
      <c r="E23" s="5" t="str">
        <f t="shared" si="0"/>
        <v/>
      </c>
      <c r="F23" s="17"/>
      <c r="G23" s="17"/>
      <c r="H23" s="17"/>
      <c r="I23" s="17"/>
      <c r="J23" s="17"/>
      <c r="K23" s="17"/>
      <c r="L23" s="17"/>
      <c r="M23" s="17"/>
    </row>
    <row r="24" spans="1:13" ht="18" x14ac:dyDescent="0.3">
      <c r="A24" s="5"/>
      <c r="B24" s="5"/>
      <c r="C24" s="5" t="str">
        <f>IFERROR(VLOOKUP(B24,Sheet3!$A$1:$B$29,2,0),"")</f>
        <v/>
      </c>
      <c r="D24" s="5"/>
      <c r="E24" s="5" t="str">
        <f t="shared" si="0"/>
        <v/>
      </c>
      <c r="F24" s="17"/>
      <c r="G24" s="17"/>
      <c r="H24" s="17"/>
      <c r="I24" s="17"/>
      <c r="J24" s="17"/>
      <c r="K24" s="17"/>
      <c r="L24" s="17"/>
      <c r="M24" s="17"/>
    </row>
    <row r="25" spans="1:13" ht="18" x14ac:dyDescent="0.3">
      <c r="A25" s="5"/>
      <c r="B25" s="5"/>
      <c r="C25" s="5" t="str">
        <f>IFERROR(VLOOKUP(B25,Sheet3!$A$1:$B$29,2,0),"")</f>
        <v/>
      </c>
      <c r="D25" s="5"/>
      <c r="E25" s="5" t="str">
        <f t="shared" si="0"/>
        <v/>
      </c>
      <c r="F25" s="17"/>
      <c r="G25" s="17"/>
      <c r="H25" s="17"/>
      <c r="I25" s="17"/>
      <c r="J25" s="17"/>
      <c r="K25" s="17"/>
      <c r="L25" s="17"/>
      <c r="M25" s="17"/>
    </row>
    <row r="26" spans="1:13" ht="18" x14ac:dyDescent="0.3">
      <c r="A26" s="5"/>
      <c r="B26" s="5"/>
      <c r="C26" s="5" t="str">
        <f>IFERROR(VLOOKUP(B26,Sheet3!$A$1:$B$29,2,0),"")</f>
        <v/>
      </c>
      <c r="D26" s="5"/>
      <c r="E26" s="5" t="str">
        <f t="shared" si="0"/>
        <v/>
      </c>
      <c r="F26" s="17"/>
      <c r="G26" s="17"/>
      <c r="H26" s="17"/>
      <c r="I26" s="17"/>
      <c r="J26" s="17"/>
      <c r="K26" s="17"/>
      <c r="L26" s="17"/>
      <c r="M26" s="17"/>
    </row>
    <row r="27" spans="1:13" ht="18" x14ac:dyDescent="0.3">
      <c r="A27" s="5"/>
      <c r="B27" s="5"/>
      <c r="C27" s="5" t="str">
        <f>IFERROR(VLOOKUP(B27,Sheet3!$A$1:$B$29,2,0),"")</f>
        <v/>
      </c>
      <c r="D27" s="5"/>
      <c r="E27" s="5" t="str">
        <f t="shared" si="0"/>
        <v/>
      </c>
      <c r="F27" s="17"/>
      <c r="G27" s="17"/>
      <c r="H27" s="17"/>
      <c r="I27" s="17"/>
      <c r="J27" s="17"/>
      <c r="K27" s="17"/>
      <c r="L27" s="17"/>
      <c r="M27" s="17"/>
    </row>
    <row r="28" spans="1:13" ht="18" x14ac:dyDescent="0.3">
      <c r="A28" s="5"/>
      <c r="B28" s="5"/>
      <c r="C28" s="5" t="str">
        <f>IFERROR(VLOOKUP(B28,Sheet3!$A$1:$B$29,2,0),"")</f>
        <v/>
      </c>
      <c r="D28" s="5"/>
      <c r="E28" s="5" t="str">
        <f t="shared" si="0"/>
        <v/>
      </c>
      <c r="F28" s="17"/>
      <c r="G28" s="17"/>
      <c r="H28" s="17"/>
      <c r="I28" s="17"/>
      <c r="J28" s="17"/>
      <c r="K28" s="17"/>
      <c r="L28" s="17"/>
      <c r="M28" s="17"/>
    </row>
    <row r="29" spans="1:13" ht="18" x14ac:dyDescent="0.3">
      <c r="A29" s="5"/>
      <c r="B29" s="5"/>
      <c r="C29" s="5" t="str">
        <f>IFERROR(VLOOKUP(B29,Sheet3!$A$1:$B$29,2,0),"")</f>
        <v/>
      </c>
      <c r="D29" s="5"/>
      <c r="E29" s="5" t="str">
        <f t="shared" si="0"/>
        <v/>
      </c>
      <c r="F29" s="17"/>
      <c r="G29" s="17"/>
      <c r="H29" s="17"/>
      <c r="I29" s="17"/>
      <c r="J29" s="17"/>
      <c r="K29" s="17"/>
      <c r="L29" s="17"/>
      <c r="M29" s="17"/>
    </row>
    <row r="30" spans="1:13" ht="18" x14ac:dyDescent="0.3">
      <c r="A30" s="46"/>
      <c r="B30" s="5"/>
      <c r="C30" s="47"/>
      <c r="D30" s="49"/>
      <c r="E30" s="49"/>
      <c r="F30" s="12"/>
      <c r="G30" s="12"/>
      <c r="H30" s="12"/>
      <c r="I30" s="12"/>
      <c r="J30" s="12"/>
      <c r="K30" s="12"/>
      <c r="L30" s="12"/>
      <c r="M30" s="12"/>
    </row>
    <row r="31" spans="1:13" ht="18" x14ac:dyDescent="0.3">
      <c r="A31" s="46"/>
      <c r="B31" s="5"/>
      <c r="C31" s="47"/>
      <c r="D31" s="49"/>
      <c r="E31" s="49"/>
      <c r="F31" s="12"/>
      <c r="G31" s="12"/>
      <c r="H31" s="12"/>
      <c r="I31" s="12"/>
      <c r="J31" s="12"/>
      <c r="K31" s="12"/>
      <c r="L31" s="12"/>
      <c r="M31" s="12"/>
    </row>
    <row r="32" spans="1:13" ht="18" x14ac:dyDescent="0.3">
      <c r="A32" s="46"/>
      <c r="B32" s="5"/>
      <c r="C32" s="47"/>
      <c r="D32" s="49"/>
      <c r="E32" s="49"/>
      <c r="F32" s="12"/>
      <c r="G32" s="12"/>
      <c r="H32" s="18"/>
      <c r="I32" s="18"/>
      <c r="J32" s="12"/>
      <c r="K32" s="12"/>
      <c r="L32" s="12"/>
      <c r="M32" s="12"/>
    </row>
    <row r="33" spans="1:13" ht="18" x14ac:dyDescent="0.3">
      <c r="A33" s="46"/>
      <c r="B33" s="5"/>
      <c r="C33" s="47"/>
      <c r="D33" s="49"/>
      <c r="E33" s="49"/>
      <c r="F33" s="12"/>
      <c r="G33" s="12"/>
      <c r="H33" s="18"/>
      <c r="I33" s="18"/>
      <c r="J33" s="12"/>
      <c r="K33" s="12"/>
      <c r="L33" s="12"/>
      <c r="M33" s="12"/>
    </row>
    <row r="34" spans="1:13" ht="18" x14ac:dyDescent="0.3">
      <c r="A34" s="10"/>
      <c r="B34" s="6"/>
      <c r="C34" s="48"/>
      <c r="D34" s="48"/>
      <c r="E34" s="48"/>
      <c r="F34" s="12"/>
      <c r="G34" s="12"/>
      <c r="H34" s="14"/>
      <c r="I34" s="14"/>
      <c r="J34" s="14"/>
      <c r="K34" s="15"/>
      <c r="L34" s="15"/>
      <c r="M34" s="15"/>
    </row>
    <row r="35" spans="1:13" ht="18" x14ac:dyDescent="0.3">
      <c r="A35" s="34"/>
      <c r="B35" s="4"/>
      <c r="C35" s="50" t="s">
        <v>12</v>
      </c>
      <c r="D35" s="50"/>
      <c r="E35" s="45">
        <f>SUM(E13:E34)</f>
        <v>80</v>
      </c>
      <c r="F35" s="12"/>
      <c r="G35" s="12"/>
      <c r="H35" s="14"/>
      <c r="I35" s="14"/>
      <c r="J35" s="14"/>
      <c r="K35" s="15"/>
      <c r="L35" s="15"/>
      <c r="M35" s="15"/>
    </row>
    <row r="36" spans="1:13" ht="18" x14ac:dyDescent="0.3">
      <c r="A36" s="34"/>
      <c r="B36" s="4"/>
      <c r="C36" s="50" t="s">
        <v>14</v>
      </c>
      <c r="D36" s="50"/>
      <c r="E36" s="44">
        <f>E35*9%</f>
        <v>7.1999999999999993</v>
      </c>
      <c r="F36" s="12"/>
      <c r="G36" s="12"/>
      <c r="H36" s="17"/>
      <c r="I36" s="17"/>
      <c r="J36" s="17"/>
      <c r="K36" s="15"/>
      <c r="L36" s="15"/>
      <c r="M36" s="15"/>
    </row>
    <row r="37" spans="1:13" ht="18" x14ac:dyDescent="0.3">
      <c r="A37" s="34"/>
      <c r="B37" s="4"/>
      <c r="C37" s="50" t="s">
        <v>15</v>
      </c>
      <c r="D37" s="50"/>
      <c r="E37" s="44">
        <f>E35*9%</f>
        <v>7.1999999999999993</v>
      </c>
      <c r="F37" s="12"/>
      <c r="G37" s="12"/>
      <c r="H37" s="17"/>
      <c r="I37" s="17"/>
      <c r="J37" s="17"/>
      <c r="K37" s="15"/>
      <c r="L37" s="15"/>
      <c r="M37" s="15"/>
    </row>
    <row r="38" spans="1:13" ht="18" customHeight="1" x14ac:dyDescent="0.3">
      <c r="A38" s="34"/>
      <c r="B38" s="4"/>
      <c r="C38" s="50" t="s">
        <v>13</v>
      </c>
      <c r="D38" s="50"/>
      <c r="E38" s="11">
        <f>SUM(E35:E37)</f>
        <v>94.4</v>
      </c>
      <c r="F38" s="41"/>
      <c r="G38" s="41"/>
      <c r="H38" s="41"/>
      <c r="I38" s="41"/>
      <c r="J38" s="41"/>
      <c r="K38" s="41"/>
      <c r="L38" s="15"/>
      <c r="M38" s="15"/>
    </row>
    <row r="39" spans="1:13" ht="18" x14ac:dyDescent="0.3">
      <c r="A39" s="34"/>
      <c r="B39" s="4"/>
      <c r="C39" s="4"/>
      <c r="D39" s="4"/>
      <c r="E39" s="35"/>
      <c r="F39" s="42"/>
      <c r="G39" s="42"/>
      <c r="H39" s="42"/>
      <c r="I39" s="42"/>
      <c r="J39" s="42"/>
      <c r="K39" s="42"/>
      <c r="L39" s="15"/>
      <c r="M39" s="15"/>
    </row>
    <row r="40" spans="1:13" ht="18" x14ac:dyDescent="0.3">
      <c r="A40" s="34"/>
      <c r="B40" s="4"/>
      <c r="C40" s="39"/>
      <c r="D40" s="39"/>
      <c r="E40" s="40"/>
      <c r="F40" s="42"/>
      <c r="G40" s="42"/>
      <c r="H40" s="42"/>
      <c r="I40" s="42"/>
      <c r="J40" s="42"/>
      <c r="K40" s="42"/>
      <c r="L40" s="15"/>
      <c r="M40" s="15"/>
    </row>
    <row r="41" spans="1:13" ht="20.399999999999999" x14ac:dyDescent="0.3">
      <c r="A41" s="20"/>
      <c r="B41" s="38"/>
      <c r="C41" s="39" t="s">
        <v>16</v>
      </c>
      <c r="D41" s="39"/>
      <c r="E41" s="40"/>
      <c r="F41" s="43"/>
      <c r="G41" s="43"/>
      <c r="H41" s="43"/>
      <c r="I41" s="43"/>
      <c r="J41" s="43"/>
      <c r="K41" s="43"/>
      <c r="L41" s="15"/>
      <c r="M41" s="15"/>
    </row>
    <row r="42" spans="1:13" ht="18" x14ac:dyDescent="0.3">
      <c r="A42" s="3"/>
      <c r="B42" s="3"/>
      <c r="C42" s="3"/>
      <c r="D42" s="3"/>
      <c r="E42" s="3"/>
      <c r="F42" s="12"/>
      <c r="G42" s="12"/>
      <c r="H42" s="12"/>
      <c r="I42" s="12"/>
      <c r="J42" s="12"/>
      <c r="K42" s="15"/>
      <c r="L42" s="15"/>
      <c r="M42" s="15"/>
    </row>
    <row r="43" spans="1:13" ht="18" x14ac:dyDescent="0.3">
      <c r="A43" s="3"/>
      <c r="B43" s="3"/>
      <c r="C43" s="3"/>
      <c r="D43" s="3"/>
      <c r="E43" s="3"/>
      <c r="F43" s="19"/>
      <c r="G43" s="18"/>
      <c r="H43" s="19"/>
      <c r="I43" s="18"/>
      <c r="J43" s="18"/>
      <c r="K43" s="15"/>
      <c r="L43" s="15"/>
      <c r="M43" s="15"/>
    </row>
    <row r="44" spans="1:13" ht="18" x14ac:dyDescent="0.3">
      <c r="A44" s="3"/>
      <c r="B44" s="3"/>
      <c r="C44" s="3"/>
      <c r="D44" s="3"/>
      <c r="E44" s="3"/>
      <c r="F44" s="12"/>
      <c r="G44" s="12"/>
      <c r="H44" s="12"/>
      <c r="I44" s="12"/>
      <c r="J44" s="12"/>
      <c r="K44" s="15"/>
      <c r="L44" s="15"/>
      <c r="M44" s="15"/>
    </row>
    <row r="45" spans="1:13" ht="18" x14ac:dyDescent="0.3">
      <c r="A45" s="3"/>
      <c r="B45" s="3"/>
      <c r="C45" s="3"/>
      <c r="D45" s="3"/>
      <c r="E45" s="3"/>
      <c r="F45" s="12"/>
      <c r="G45" s="12"/>
      <c r="H45" s="12"/>
      <c r="I45" s="12"/>
      <c r="J45" s="12"/>
      <c r="K45" s="15"/>
      <c r="L45" s="15"/>
      <c r="M45" s="15"/>
    </row>
    <row r="46" spans="1:13" ht="18" x14ac:dyDescent="0.3">
      <c r="A46" s="3"/>
      <c r="B46" s="3"/>
      <c r="C46" s="3"/>
      <c r="D46" s="3"/>
      <c r="E46" s="3"/>
      <c r="F46" s="12"/>
      <c r="G46" s="12"/>
      <c r="H46" s="12"/>
      <c r="I46" s="12"/>
      <c r="J46" s="12"/>
      <c r="K46" s="15"/>
      <c r="L46" s="15"/>
      <c r="M46" s="15"/>
    </row>
    <row r="47" spans="1:13" ht="18" x14ac:dyDescent="0.3">
      <c r="A47" s="3"/>
      <c r="B47" s="3"/>
      <c r="C47" s="3"/>
      <c r="D47" s="3"/>
      <c r="E47" s="3"/>
      <c r="F47" s="12"/>
      <c r="G47" s="12"/>
      <c r="H47" s="12"/>
      <c r="I47" s="12"/>
      <c r="J47" s="12"/>
      <c r="K47" s="15"/>
      <c r="L47" s="15"/>
      <c r="M47" s="15"/>
    </row>
    <row r="48" spans="1:13" ht="18" x14ac:dyDescent="0.3">
      <c r="A48" s="3"/>
      <c r="B48" s="3"/>
      <c r="C48" s="3"/>
      <c r="D48" s="3"/>
      <c r="E48" s="3"/>
      <c r="F48" s="12"/>
      <c r="G48" s="12"/>
      <c r="H48" s="12"/>
      <c r="I48" s="12"/>
      <c r="J48" s="12"/>
      <c r="K48" s="15"/>
      <c r="L48" s="15"/>
      <c r="M48" s="15"/>
    </row>
    <row r="49" spans="1:13" ht="18" x14ac:dyDescent="0.3">
      <c r="A49" s="3"/>
      <c r="B49" s="3"/>
      <c r="C49" s="3"/>
      <c r="D49" s="3"/>
      <c r="E49" s="3"/>
      <c r="F49" s="16"/>
      <c r="G49" s="16"/>
      <c r="H49" s="16"/>
      <c r="I49" s="24"/>
      <c r="J49" s="24"/>
      <c r="K49" s="16"/>
      <c r="L49" s="15"/>
      <c r="M49" s="15"/>
    </row>
    <row r="50" spans="1:13" ht="18" x14ac:dyDescent="0.3">
      <c r="A50" s="3"/>
      <c r="B50" s="3"/>
      <c r="C50" s="3"/>
      <c r="D50" s="3"/>
      <c r="E50" s="3"/>
      <c r="F50" s="17"/>
      <c r="G50" s="17"/>
      <c r="H50" s="17"/>
      <c r="I50" s="17"/>
      <c r="J50" s="17"/>
      <c r="K50" s="17"/>
      <c r="L50" s="15"/>
      <c r="M50" s="15"/>
    </row>
    <row r="51" spans="1:13" ht="18" x14ac:dyDescent="0.3">
      <c r="A51" s="3"/>
      <c r="B51" s="3"/>
      <c r="C51" s="3"/>
      <c r="D51" s="3"/>
      <c r="E51" s="3"/>
      <c r="F51" s="15"/>
      <c r="G51" s="15"/>
      <c r="H51" s="15"/>
      <c r="I51" s="15"/>
      <c r="J51" s="15"/>
      <c r="K51" s="15"/>
      <c r="L51" s="15"/>
      <c r="M51" s="15"/>
    </row>
    <row r="52" spans="1:13" ht="18" x14ac:dyDescent="0.3">
      <c r="A52" s="3"/>
      <c r="B52" s="3"/>
      <c r="C52" s="3"/>
      <c r="D52" s="3"/>
      <c r="E52" s="3"/>
      <c r="F52" s="15"/>
      <c r="G52" s="15"/>
      <c r="H52" s="15"/>
      <c r="I52" s="15"/>
      <c r="J52" s="15"/>
      <c r="K52" s="15"/>
      <c r="L52" s="15"/>
      <c r="M52" s="15"/>
    </row>
    <row r="53" spans="1:13" ht="18" x14ac:dyDescent="0.3">
      <c r="A53" s="3"/>
      <c r="B53" s="3"/>
      <c r="C53" s="3"/>
      <c r="D53" s="3"/>
      <c r="E53" s="3"/>
      <c r="F53" s="15"/>
      <c r="G53" s="15"/>
      <c r="H53" s="15"/>
      <c r="I53" s="15"/>
      <c r="J53" s="15"/>
      <c r="K53" s="15"/>
      <c r="L53" s="15"/>
      <c r="M53" s="15"/>
    </row>
    <row r="54" spans="1:13" ht="18" x14ac:dyDescent="0.3">
      <c r="A54" s="3"/>
      <c r="B54" s="3"/>
      <c r="C54" s="3"/>
      <c r="D54" s="3"/>
      <c r="E54" s="3"/>
      <c r="F54" s="15"/>
      <c r="G54" s="15"/>
      <c r="H54" s="15"/>
      <c r="I54" s="15"/>
      <c r="J54" s="15"/>
      <c r="K54" s="15"/>
      <c r="L54" s="15"/>
      <c r="M54" s="15"/>
    </row>
    <row r="55" spans="1:13" ht="18" x14ac:dyDescent="0.3">
      <c r="A55" s="3"/>
      <c r="B55" s="3"/>
      <c r="C55" s="3"/>
      <c r="D55" s="3"/>
      <c r="E55" s="3"/>
      <c r="F55" s="15"/>
      <c r="G55" s="15"/>
      <c r="H55" s="15"/>
      <c r="I55" s="15"/>
      <c r="J55" s="15"/>
      <c r="K55" s="15"/>
      <c r="L55" s="15"/>
      <c r="M55" s="15"/>
    </row>
    <row r="56" spans="1:13" ht="18" x14ac:dyDescent="0.3">
      <c r="A56" s="3"/>
      <c r="B56" s="3"/>
      <c r="C56" s="3"/>
      <c r="D56" s="3"/>
      <c r="E56" s="3"/>
      <c r="F56" s="15"/>
      <c r="G56" s="15"/>
      <c r="H56" s="15"/>
      <c r="I56" s="15"/>
      <c r="J56" s="15"/>
      <c r="K56" s="15"/>
      <c r="L56" s="15"/>
      <c r="M56" s="15"/>
    </row>
    <row r="57" spans="1:13" ht="18" x14ac:dyDescent="0.3">
      <c r="A57" s="3"/>
      <c r="B57" s="3"/>
      <c r="C57" s="3"/>
      <c r="D57" s="3"/>
      <c r="E57" s="3"/>
    </row>
    <row r="58" spans="1:13" ht="18" x14ac:dyDescent="0.3">
      <c r="A58" s="3"/>
      <c r="B58" s="3"/>
      <c r="C58" s="3"/>
      <c r="D58" s="3"/>
      <c r="E58" s="3"/>
    </row>
    <row r="59" spans="1:13" ht="18" x14ac:dyDescent="0.3">
      <c r="A59" s="3"/>
      <c r="B59" s="3"/>
      <c r="C59" s="3"/>
      <c r="D59" s="3"/>
      <c r="E59" s="3"/>
    </row>
    <row r="60" spans="1:13" ht="18" x14ac:dyDescent="0.3">
      <c r="A60" s="3"/>
      <c r="B60" s="3"/>
      <c r="C60" s="3"/>
      <c r="D60" s="3"/>
      <c r="E60" s="3"/>
    </row>
    <row r="61" spans="1:13" ht="18" x14ac:dyDescent="0.3">
      <c r="A61" s="3"/>
      <c r="B61" s="3"/>
      <c r="C61" s="3"/>
      <c r="D61" s="3"/>
      <c r="E61" s="3"/>
    </row>
    <row r="62" spans="1:13" ht="18" x14ac:dyDescent="0.3">
      <c r="A62" s="3"/>
      <c r="B62" s="3"/>
      <c r="C62" s="3"/>
      <c r="D62" s="3"/>
      <c r="E62" s="3"/>
    </row>
    <row r="63" spans="1:13" ht="18" x14ac:dyDescent="0.3">
      <c r="A63" s="3"/>
      <c r="B63" s="3"/>
      <c r="C63" s="3"/>
      <c r="D63" s="3"/>
      <c r="E63" s="3"/>
    </row>
    <row r="64" spans="1:13" ht="18" x14ac:dyDescent="0.3">
      <c r="A64" s="3"/>
      <c r="B64" s="3"/>
      <c r="C64" s="3"/>
      <c r="D64" s="3"/>
      <c r="E64" s="3"/>
    </row>
    <row r="65" spans="1:5" ht="18" x14ac:dyDescent="0.3">
      <c r="A65" s="3"/>
      <c r="B65" s="3"/>
      <c r="C65" s="3"/>
      <c r="D65" s="3"/>
      <c r="E65" s="3"/>
    </row>
    <row r="66" spans="1:5" ht="18" x14ac:dyDescent="0.3">
      <c r="A66" s="3"/>
      <c r="B66" s="3"/>
      <c r="C66" s="3"/>
      <c r="D66" s="3"/>
      <c r="E66" s="3"/>
    </row>
    <row r="67" spans="1:5" ht="18" x14ac:dyDescent="0.3">
      <c r="A67" s="3"/>
      <c r="B67" s="3"/>
      <c r="C67" s="3"/>
      <c r="D67" s="3"/>
      <c r="E67" s="3"/>
    </row>
    <row r="68" spans="1:5" ht="18" x14ac:dyDescent="0.3">
      <c r="A68" s="3"/>
      <c r="B68" s="3"/>
      <c r="C68" s="3"/>
      <c r="D68" s="3"/>
      <c r="E68" s="3"/>
    </row>
    <row r="69" spans="1:5" ht="18" x14ac:dyDescent="0.3">
      <c r="A69" s="3"/>
      <c r="B69" s="3"/>
      <c r="C69" s="3"/>
      <c r="D69" s="3"/>
      <c r="E69" s="3"/>
    </row>
    <row r="70" spans="1:5" ht="18" x14ac:dyDescent="0.3">
      <c r="A70" s="3"/>
      <c r="B70" s="3"/>
      <c r="C70" s="3"/>
      <c r="D70" s="3"/>
      <c r="E70" s="3"/>
    </row>
    <row r="71" spans="1:5" ht="18" x14ac:dyDescent="0.3">
      <c r="A71" s="3"/>
      <c r="B71" s="3"/>
      <c r="C71" s="3"/>
      <c r="D71" s="3"/>
      <c r="E71" s="3"/>
    </row>
    <row r="72" spans="1:5" ht="18" x14ac:dyDescent="0.3">
      <c r="A72" s="3"/>
      <c r="B72" s="3"/>
      <c r="C72" s="3"/>
      <c r="D72" s="3"/>
      <c r="E72" s="3"/>
    </row>
    <row r="73" spans="1:5" ht="18" x14ac:dyDescent="0.3">
      <c r="A73" s="3"/>
      <c r="B73" s="3"/>
      <c r="C73" s="3"/>
      <c r="D73" s="3"/>
      <c r="E73" s="3"/>
    </row>
    <row r="74" spans="1:5" ht="18" x14ac:dyDescent="0.3">
      <c r="A74" s="3"/>
      <c r="B74" s="3"/>
      <c r="C74" s="3"/>
      <c r="D74" s="3"/>
      <c r="E74" s="3"/>
    </row>
    <row r="75" spans="1:5" ht="18" x14ac:dyDescent="0.3">
      <c r="A75" s="3"/>
      <c r="B75" s="3"/>
      <c r="C75" s="3"/>
      <c r="D75" s="3"/>
      <c r="E75" s="3"/>
    </row>
    <row r="76" spans="1:5" ht="18" x14ac:dyDescent="0.35">
      <c r="A76" s="1"/>
      <c r="B76" s="1"/>
      <c r="C76" s="1"/>
      <c r="D76" s="1"/>
      <c r="E76" s="1"/>
    </row>
    <row r="77" spans="1:5" ht="18" x14ac:dyDescent="0.35">
      <c r="A77" s="1"/>
      <c r="B77" s="1"/>
      <c r="C77" s="1"/>
      <c r="D77" s="1"/>
      <c r="E77" s="1"/>
    </row>
    <row r="78" spans="1:5" ht="18" x14ac:dyDescent="0.35">
      <c r="A78" s="1"/>
      <c r="B78" s="1"/>
      <c r="C78" s="1"/>
      <c r="D78" s="1"/>
      <c r="E78" s="1"/>
    </row>
    <row r="79" spans="1:5" ht="18" x14ac:dyDescent="0.35">
      <c r="A79" s="1"/>
      <c r="B79" s="1"/>
      <c r="C79" s="1"/>
      <c r="D79" s="1"/>
      <c r="E79" s="1"/>
    </row>
    <row r="80" spans="1:5" ht="18" x14ac:dyDescent="0.35">
      <c r="A80" s="1"/>
      <c r="B80" s="1"/>
      <c r="C80" s="1"/>
      <c r="D80" s="1"/>
      <c r="E80" s="1"/>
    </row>
    <row r="81" spans="1:5" ht="18" x14ac:dyDescent="0.35">
      <c r="A81" s="1"/>
      <c r="B81" s="1"/>
      <c r="C81" s="1"/>
      <c r="D81" s="1"/>
      <c r="E81" s="1"/>
    </row>
    <row r="82" spans="1:5" ht="18" x14ac:dyDescent="0.35">
      <c r="A82" s="1"/>
      <c r="B82" s="1"/>
      <c r="C82" s="1"/>
      <c r="D82" s="1"/>
      <c r="E82" s="1"/>
    </row>
    <row r="83" spans="1:5" ht="18" x14ac:dyDescent="0.35">
      <c r="A83" s="1"/>
      <c r="B83" s="1"/>
      <c r="C83" s="1"/>
      <c r="D83" s="1"/>
      <c r="E83" s="1"/>
    </row>
    <row r="84" spans="1:5" ht="18" x14ac:dyDescent="0.35">
      <c r="A84" s="1"/>
      <c r="B84" s="1"/>
      <c r="C84" s="1"/>
      <c r="D84" s="1"/>
      <c r="E84" s="1"/>
    </row>
    <row r="85" spans="1:5" ht="18" x14ac:dyDescent="0.35">
      <c r="A85" s="1"/>
      <c r="B85" s="1"/>
      <c r="C85" s="1"/>
      <c r="D85" s="1"/>
      <c r="E85" s="1"/>
    </row>
    <row r="86" spans="1:5" ht="18" x14ac:dyDescent="0.35">
      <c r="A86" s="1"/>
      <c r="B86" s="1"/>
      <c r="C86" s="1"/>
      <c r="D86" s="1"/>
      <c r="E86" s="1"/>
    </row>
    <row r="87" spans="1:5" ht="18" x14ac:dyDescent="0.35">
      <c r="A87" s="1"/>
      <c r="B87" s="1"/>
      <c r="C87" s="1"/>
      <c r="D87" s="1"/>
      <c r="E87" s="1"/>
    </row>
    <row r="88" spans="1:5" ht="18" x14ac:dyDescent="0.35">
      <c r="A88" s="1"/>
      <c r="B88" s="1"/>
      <c r="C88" s="1"/>
      <c r="D88" s="1"/>
      <c r="E88" s="1"/>
    </row>
    <row r="89" spans="1:5" ht="18" x14ac:dyDescent="0.35">
      <c r="A89" s="1"/>
      <c r="B89" s="1"/>
      <c r="C89" s="1"/>
      <c r="D89" s="1"/>
      <c r="E89" s="1"/>
    </row>
    <row r="90" spans="1:5" ht="18" x14ac:dyDescent="0.35">
      <c r="A90" s="1"/>
      <c r="B90" s="1"/>
      <c r="C90" s="1"/>
      <c r="D90" s="1"/>
      <c r="E90" s="1"/>
    </row>
    <row r="91" spans="1:5" ht="18" x14ac:dyDescent="0.35">
      <c r="A91" s="1"/>
      <c r="B91" s="1"/>
      <c r="C91" s="1"/>
      <c r="D91" s="1"/>
      <c r="E91" s="1"/>
    </row>
    <row r="92" spans="1:5" ht="18" x14ac:dyDescent="0.35">
      <c r="A92" s="1"/>
      <c r="B92" s="1"/>
      <c r="C92" s="1"/>
      <c r="D92" s="1"/>
      <c r="E92" s="1"/>
    </row>
    <row r="93" spans="1:5" ht="18" x14ac:dyDescent="0.35">
      <c r="A93" s="1"/>
      <c r="B93" s="1"/>
      <c r="C93" s="1"/>
      <c r="D93" s="1"/>
      <c r="E93" s="1"/>
    </row>
  </sheetData>
  <mergeCells count="15">
    <mergeCell ref="C35:D35"/>
    <mergeCell ref="C36:D36"/>
    <mergeCell ref="C37:D37"/>
    <mergeCell ref="C38:D38"/>
    <mergeCell ref="C41:E41"/>
    <mergeCell ref="C40:E40"/>
    <mergeCell ref="A1:E1"/>
    <mergeCell ref="A2:E2"/>
    <mergeCell ref="A3:E3"/>
    <mergeCell ref="A4:E4"/>
    <mergeCell ref="D6:E6"/>
    <mergeCell ref="B8:D8"/>
    <mergeCell ref="B9:D9"/>
    <mergeCell ref="B10:D10"/>
    <mergeCell ref="I49:J49"/>
  </mergeCells>
  <pageMargins left="0.25" right="0.25" top="0.25" bottom="0.25" header="0" footer="0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Sheet3!$A$2:$A$29</xm:f>
          </x14:formula1>
          <xm:sqref>G14:G29 G50 B13:B34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9"/>
  <sheetViews>
    <sheetView workbookViewId="0">
      <selection activeCell="A30" sqref="A30"/>
    </sheetView>
  </sheetViews>
  <sheetFormatPr defaultRowHeight="14.4" x14ac:dyDescent="0.3"/>
  <cols>
    <col min="1" max="1" width="20.77734375" bestFit="1" customWidth="1"/>
    <col min="2" max="2" width="11.21875" bestFit="1" customWidth="1"/>
  </cols>
  <sheetData>
    <row r="1" spans="1:2" x14ac:dyDescent="0.3">
      <c r="A1" s="8" t="s">
        <v>19</v>
      </c>
      <c r="B1" s="7" t="s">
        <v>20</v>
      </c>
    </row>
    <row r="2" spans="1:2" x14ac:dyDescent="0.3">
      <c r="A2" s="9" t="s">
        <v>21</v>
      </c>
      <c r="B2" s="7">
        <v>250</v>
      </c>
    </row>
    <row r="3" spans="1:2" x14ac:dyDescent="0.3">
      <c r="A3" s="9" t="s">
        <v>22</v>
      </c>
      <c r="B3" s="7">
        <v>20</v>
      </c>
    </row>
    <row r="4" spans="1:2" x14ac:dyDescent="0.3">
      <c r="A4" s="8" t="s">
        <v>23</v>
      </c>
      <c r="B4" s="7">
        <v>50</v>
      </c>
    </row>
    <row r="5" spans="1:2" x14ac:dyDescent="0.3">
      <c r="A5" s="9" t="s">
        <v>24</v>
      </c>
      <c r="B5" s="7">
        <v>150</v>
      </c>
    </row>
    <row r="6" spans="1:2" x14ac:dyDescent="0.3">
      <c r="A6" s="9" t="s">
        <v>25</v>
      </c>
      <c r="B6" s="7">
        <v>40</v>
      </c>
    </row>
    <row r="7" spans="1:2" x14ac:dyDescent="0.3">
      <c r="A7" s="8" t="s">
        <v>26</v>
      </c>
      <c r="B7" s="7">
        <v>110</v>
      </c>
    </row>
    <row r="8" spans="1:2" x14ac:dyDescent="0.3">
      <c r="A8" s="9" t="s">
        <v>27</v>
      </c>
      <c r="B8" s="7">
        <v>240</v>
      </c>
    </row>
    <row r="9" spans="1:2" x14ac:dyDescent="0.3">
      <c r="A9" s="8" t="s">
        <v>28</v>
      </c>
      <c r="B9" s="7">
        <v>60</v>
      </c>
    </row>
    <row r="10" spans="1:2" x14ac:dyDescent="0.3">
      <c r="A10" s="8" t="s">
        <v>29</v>
      </c>
      <c r="B10" s="7">
        <v>80</v>
      </c>
    </row>
    <row r="11" spans="1:2" x14ac:dyDescent="0.3">
      <c r="A11" s="8" t="s">
        <v>30</v>
      </c>
      <c r="B11" s="7">
        <v>200</v>
      </c>
    </row>
    <row r="12" spans="1:2" x14ac:dyDescent="0.3">
      <c r="A12" s="8" t="s">
        <v>31</v>
      </c>
      <c r="B12" s="7">
        <v>500</v>
      </c>
    </row>
    <row r="13" spans="1:2" x14ac:dyDescent="0.3">
      <c r="A13" s="8" t="s">
        <v>32</v>
      </c>
      <c r="B13" s="7">
        <v>400</v>
      </c>
    </row>
    <row r="14" spans="1:2" x14ac:dyDescent="0.3">
      <c r="A14" s="8" t="s">
        <v>33</v>
      </c>
      <c r="B14" s="7">
        <v>150</v>
      </c>
    </row>
    <row r="15" spans="1:2" x14ac:dyDescent="0.3">
      <c r="A15" s="8" t="s">
        <v>34</v>
      </c>
      <c r="B15" s="7">
        <v>250</v>
      </c>
    </row>
    <row r="16" spans="1:2" x14ac:dyDescent="0.3">
      <c r="A16" s="8" t="s">
        <v>35</v>
      </c>
      <c r="B16" s="7">
        <v>130</v>
      </c>
    </row>
    <row r="17" spans="1:2" x14ac:dyDescent="0.3">
      <c r="A17" s="8" t="s">
        <v>36</v>
      </c>
      <c r="B17" s="7">
        <v>20</v>
      </c>
    </row>
    <row r="18" spans="1:2" x14ac:dyDescent="0.3">
      <c r="A18" s="8" t="s">
        <v>37</v>
      </c>
      <c r="B18" s="7">
        <v>45</v>
      </c>
    </row>
    <row r="19" spans="1:2" x14ac:dyDescent="0.3">
      <c r="A19" s="8" t="s">
        <v>38</v>
      </c>
      <c r="B19" s="7">
        <v>120</v>
      </c>
    </row>
    <row r="20" spans="1:2" x14ac:dyDescent="0.3">
      <c r="A20" s="8" t="s">
        <v>39</v>
      </c>
      <c r="B20" s="7">
        <v>600</v>
      </c>
    </row>
    <row r="21" spans="1:2" x14ac:dyDescent="0.3">
      <c r="A21" s="8" t="s">
        <v>40</v>
      </c>
      <c r="B21" s="7">
        <v>90</v>
      </c>
    </row>
    <row r="22" spans="1:2" x14ac:dyDescent="0.3">
      <c r="A22" s="8" t="s">
        <v>41</v>
      </c>
      <c r="B22" s="7">
        <v>180</v>
      </c>
    </row>
    <row r="23" spans="1:2" x14ac:dyDescent="0.3">
      <c r="A23" s="8" t="s">
        <v>42</v>
      </c>
      <c r="B23" s="7">
        <v>80</v>
      </c>
    </row>
    <row r="24" spans="1:2" x14ac:dyDescent="0.3">
      <c r="A24" s="8" t="s">
        <v>43</v>
      </c>
      <c r="B24" s="7">
        <v>100</v>
      </c>
    </row>
    <row r="25" spans="1:2" x14ac:dyDescent="0.3">
      <c r="A25" s="8" t="s">
        <v>44</v>
      </c>
      <c r="B25" s="7">
        <v>140</v>
      </c>
    </row>
    <row r="26" spans="1:2" x14ac:dyDescent="0.3">
      <c r="A26" s="8" t="s">
        <v>45</v>
      </c>
      <c r="B26" s="7">
        <v>600</v>
      </c>
    </row>
    <row r="27" spans="1:2" x14ac:dyDescent="0.3">
      <c r="A27" s="8" t="s">
        <v>46</v>
      </c>
      <c r="B27" s="7">
        <v>90</v>
      </c>
    </row>
    <row r="28" spans="1:2" x14ac:dyDescent="0.3">
      <c r="A28" s="8" t="s">
        <v>47</v>
      </c>
      <c r="B28" s="7">
        <v>180</v>
      </c>
    </row>
    <row r="29" spans="1:2" x14ac:dyDescent="0.3">
      <c r="A29" s="8" t="s">
        <v>48</v>
      </c>
      <c r="B29" s="7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2023-12-30T14:19:42Z</cp:lastPrinted>
  <dcterms:created xsi:type="dcterms:W3CDTF">2023-11-02T06:21:32Z</dcterms:created>
  <dcterms:modified xsi:type="dcterms:W3CDTF">2023-12-30T14:21:30Z</dcterms:modified>
</cp:coreProperties>
</file>